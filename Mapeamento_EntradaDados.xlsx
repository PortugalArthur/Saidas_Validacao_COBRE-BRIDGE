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sbr-my.sharepoint.com/personal/debora_jardim_ons_org_br/Documents/Arquivos de Chat do Microsoft Teams/"/>
    </mc:Choice>
  </mc:AlternateContent>
  <xr:revisionPtr revIDLastSave="714" documentId="8_{38397601-76DD-45AF-92BA-6A814A50A175}" xr6:coauthVersionLast="47" xr6:coauthVersionMax="47" xr10:uidLastSave="{49854ECA-CB4A-4564-992A-0D43BFCF15B1}"/>
  <bookViews>
    <workbookView xWindow="-120" yWindow="-120" windowWidth="21840" windowHeight="13020" activeTab="4" xr2:uid="{7B5A3222-0912-4ED8-BF4C-06DBA21A8366}"/>
  </bookViews>
  <sheets>
    <sheet name="Termicas" sheetId="1" r:id="rId1"/>
    <sheet name="Carga " sheetId="2" r:id="rId2"/>
    <sheet name="Submercados_e_Intercâmbios " sheetId="3" r:id="rId3"/>
    <sheet name="Não_Simuladas_e_MMGD" sheetId="4" r:id="rId4"/>
    <sheet name="Hidraulica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4" l="1"/>
  <c r="H10" i="4"/>
  <c r="H21" i="3"/>
  <c r="H20" i="3"/>
  <c r="H17" i="3"/>
  <c r="H16" i="3"/>
  <c r="H9" i="3"/>
  <c r="H8" i="3"/>
  <c r="H8" i="2"/>
  <c r="H4" i="2"/>
</calcChain>
</file>

<file path=xl/sharedStrings.xml><?xml version="1.0" encoding="utf-8"?>
<sst xmlns="http://schemas.openxmlformats.org/spreadsheetml/2006/main" count="388" uniqueCount="136">
  <si>
    <t xml:space="preserve">arquivo </t>
  </si>
  <si>
    <t>variável</t>
  </si>
  <si>
    <t>arquivo</t>
  </si>
  <si>
    <t>variavel</t>
  </si>
  <si>
    <t>componente</t>
  </si>
  <si>
    <t>nome</t>
  </si>
  <si>
    <t>número</t>
  </si>
  <si>
    <t>numero</t>
  </si>
  <si>
    <t>id</t>
  </si>
  <si>
    <t xml:space="preserve">nome </t>
  </si>
  <si>
    <t>3/4/5/6</t>
  </si>
  <si>
    <t>id_nw</t>
  </si>
  <si>
    <t>arquivo NEWAVE</t>
  </si>
  <si>
    <t>arquivo COBRE</t>
  </si>
  <si>
    <t xml:space="preserve">carga </t>
  </si>
  <si>
    <t>sistema.dat</t>
  </si>
  <si>
    <t xml:space="preserve">load_seasonal_stats.parquet </t>
  </si>
  <si>
    <t>patamar.dat</t>
  </si>
  <si>
    <t>load_factors.json</t>
  </si>
  <si>
    <t>Submercado</t>
  </si>
  <si>
    <t>submercado</t>
  </si>
  <si>
    <t>ano</t>
  </si>
  <si>
    <t xml:space="preserve">mês </t>
  </si>
  <si>
    <t>carga média</t>
  </si>
  <si>
    <t xml:space="preserve">fator desagregador por patamar </t>
  </si>
  <si>
    <t>bus_id</t>
  </si>
  <si>
    <t>stage_id</t>
  </si>
  <si>
    <t>mean_mw</t>
  </si>
  <si>
    <t>std_mw</t>
  </si>
  <si>
    <t>-</t>
  </si>
  <si>
    <t>block_factors\block_id</t>
  </si>
  <si>
    <t>patamar</t>
  </si>
  <si>
    <t>block_factors\factor</t>
  </si>
  <si>
    <t>custo_défcit</t>
  </si>
  <si>
    <t>flag_fictício</t>
  </si>
  <si>
    <t>patamar_de_défcit</t>
  </si>
  <si>
    <t>P.U. CORTE</t>
  </si>
  <si>
    <t>Intercâmbios</t>
  </si>
  <si>
    <t>submercado de</t>
  </si>
  <si>
    <t xml:space="preserve">submercado para </t>
  </si>
  <si>
    <t>mês</t>
  </si>
  <si>
    <t>limite_médio</t>
  </si>
  <si>
    <t>lines.json</t>
  </si>
  <si>
    <t>name</t>
  </si>
  <si>
    <t>operational_start_date</t>
  </si>
  <si>
    <t>source_bus_id</t>
  </si>
  <si>
    <t>target_bus_id</t>
  </si>
  <si>
    <t>capacity/direct_mw</t>
  </si>
  <si>
    <t>capacity/reverse_mw</t>
  </si>
  <si>
    <t>exchange_cost</t>
  </si>
  <si>
    <t xml:space="preserve">interno </t>
  </si>
  <si>
    <t>line_bounds.parquet</t>
  </si>
  <si>
    <t>line_id</t>
  </si>
  <si>
    <t>direct_mw</t>
  </si>
  <si>
    <t>reverse_mw</t>
  </si>
  <si>
    <t>buses.json</t>
  </si>
  <si>
    <t>deficit_segments/depth_mw</t>
  </si>
  <si>
    <t>deficit_segments/cost</t>
  </si>
  <si>
    <t>exchange_factors.json</t>
  </si>
  <si>
    <t>block_factors/block_id</t>
  </si>
  <si>
    <t>block_factors/direct_factor</t>
  </si>
  <si>
    <t>block_factors/reverse_factor</t>
  </si>
  <si>
    <t>Não_Simuladas_e_MMGD</t>
  </si>
  <si>
    <t>valor_médio</t>
  </si>
  <si>
    <t>non_controllable_sources.json</t>
  </si>
  <si>
    <t>max_generation_mw</t>
  </si>
  <si>
    <t>allow_curtailment</t>
  </si>
  <si>
    <t>non_controllable_stats.parquet</t>
  </si>
  <si>
    <t>ncs_id</t>
  </si>
  <si>
    <t>mean</t>
  </si>
  <si>
    <t>std</t>
  </si>
  <si>
    <t>non_controllable_factors.json</t>
  </si>
  <si>
    <t>block_factors/id</t>
  </si>
  <si>
    <t>block_factors/factor</t>
  </si>
  <si>
    <t>cost_per_mwh</t>
  </si>
  <si>
    <t>min_generation_mw</t>
  </si>
  <si>
    <t>thermal_id</t>
  </si>
  <si>
    <t>thermals.anticipated_config.lead_stages</t>
  </si>
  <si>
    <t>thermals.id</t>
  </si>
  <si>
    <t>thermals.name</t>
  </si>
  <si>
    <t>thermals.operational_start_date</t>
  </si>
  <si>
    <t>thermals.cost_per_mwh</t>
  </si>
  <si>
    <t>thermals.generation.max_mw</t>
  </si>
  <si>
    <t>thermals.generation.min_mw</t>
  </si>
  <si>
    <t>thermals.anticipated_config</t>
  </si>
  <si>
    <t>thermals.entry_stage_id</t>
  </si>
  <si>
    <t>thermals.exit_stage_id</t>
  </si>
  <si>
    <t>Características térmicas</t>
  </si>
  <si>
    <t>TERM.DAT</t>
  </si>
  <si>
    <t>Nome da usina térmica</t>
  </si>
  <si>
    <t>Potência instalada da usina, em MW</t>
  </si>
  <si>
    <t>Fator máximo de capacidade da usina</t>
  </si>
  <si>
    <t>Taxa esperada de indisponibilidade forçada</t>
  </si>
  <si>
    <t>Taxa de indisponibilidade programada</t>
  </si>
  <si>
    <t>Geração térmica mínima mensal</t>
  </si>
  <si>
    <t>Cadastro térmico</t>
  </si>
  <si>
    <t>CONFT.DAT</t>
  </si>
  <si>
    <t>Número da usina térmica</t>
  </si>
  <si>
    <t>Submercado ao qual a usina térmica pertence</t>
  </si>
  <si>
    <t>Situação da usina: existente, em expansão, futura ou não considerada</t>
  </si>
  <si>
    <t>Classe térmica associada à usina</t>
  </si>
  <si>
    <t>Classe e custo</t>
  </si>
  <si>
    <t>CLAST.DAT</t>
  </si>
  <si>
    <t>Nome da classe térmica</t>
  </si>
  <si>
    <t>Tipo de combustível da classe térmica</t>
  </si>
  <si>
    <t>Custo variável de geração da classe ao longo do estudo</t>
  </si>
  <si>
    <t>Expansão e alterações</t>
  </si>
  <si>
    <t>EXPT.DAT</t>
  </si>
  <si>
    <t>Tipo de alteração térmica informada</t>
  </si>
  <si>
    <t>Potência efetiva válida no período informado</t>
  </si>
  <si>
    <t>Geração térmica mínima válida no período informado</t>
  </si>
  <si>
    <t>Fator máximo de capacidade válido no período informado</t>
  </si>
  <si>
    <t>Indisponibilidade programada válida no período informado</t>
  </si>
  <si>
    <t>Indisponibilidade forçada válida no período informado</t>
  </si>
  <si>
    <t>Mês e ano em que a alteração começa</t>
  </si>
  <si>
    <t>Mês e ano em que a alteração termina</t>
  </si>
  <si>
    <t>Manutenção</t>
  </si>
  <si>
    <t>MANUTT.DAT</t>
  </si>
  <si>
    <t>Data de início da manutenção programada</t>
  </si>
  <si>
    <t>Duração da manutenção, em dias</t>
  </si>
  <si>
    <t>Potência indisponível durante a manutenção, em MW</t>
  </si>
  <si>
    <t>Despacho antecipado</t>
  </si>
  <si>
    <t>ADTERM.DAT</t>
  </si>
  <si>
    <t>Nome da usina térmica com antecipação</t>
  </si>
  <si>
    <t>Número de estágios de antecedência do compromisso</t>
  </si>
  <si>
    <t>Patamar de carga da geração antecipada</t>
  </si>
  <si>
    <t>Montante de geração térmica já comprometido para cada antecedência</t>
  </si>
  <si>
    <t>system/thermals.json</t>
  </si>
  <si>
    <t>thermals.bus_id</t>
  </si>
  <si>
    <t>constraints/thermal_bounds.parquet</t>
  </si>
  <si>
    <t>17/18/19/20/24</t>
  </si>
  <si>
    <t>15/16/22/23</t>
  </si>
  <si>
    <t>initial_conditions.json</t>
  </si>
  <si>
    <t>past_anticipated_commitments.values_mw</t>
  </si>
  <si>
    <t>past_anticipated_commitments.thermal_id</t>
  </si>
  <si>
    <t xml:space="preserve">Número da usina térmica, com despacho antecipado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</si>
</sst>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.5"/>
      <color rgb="FF000000"/>
      <name val="Calibri"/>
      <family val="2"/>
    </font>
    <font>
      <b/>
      <sz val="10"/>
      <color rgb="FFFFFFFF"/>
      <name val="Aptos"/>
    </font>
    <font>
      <sz val="10"/>
      <color rgb="FF1F2937"/>
      <name val="Aptos"/>
    </font>
    <font>
      <b/>
      <sz val="10"/>
      <color rgb="FF2E75B6"/>
      <name val="Aptos"/>
    </font>
    <font>
      <b/>
      <sz val="10"/>
      <color rgb="FF1F4E78"/>
      <name val="Aptos"/>
    </font>
    <font>
      <b/>
      <sz val="10"/>
      <color rgb="FFC55A11"/>
      <name val="Aptos"/>
    </font>
    <font>
      <b/>
      <sz val="10"/>
      <color rgb="FF9E480E"/>
      <name val="Aptos"/>
    </font>
    <font>
      <sz val="16"/>
      <color rgb="FF1F2937"/>
      <name val="Aptos"/>
      <family val="2"/>
    </font>
    <font>
      <b/>
      <sz val="16"/>
      <color rgb="FF2E75B6"/>
      <name val="Aptos"/>
      <family val="2"/>
    </font>
    <font>
      <b/>
      <sz val="16"/>
      <color rgb="FFFFFFFF"/>
      <name val="Aptos"/>
      <family val="2"/>
    </font>
    <font>
      <b/>
      <sz val="16"/>
      <color rgb="FFC55A11"/>
      <name val="Aptos"/>
      <family val="2"/>
    </font>
    <font>
      <b/>
      <sz val="16"/>
      <color rgb="FF9E480E"/>
      <name val="Aptos"/>
      <family val="2"/>
    </font>
    <font>
      <b/>
      <sz val="16"/>
      <color rgb="FF1F4E78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A9BDD2"/>
      </left>
      <right style="thin">
        <color rgb="FFA9BDD2"/>
      </right>
      <top style="thin">
        <color rgb="FFA9BDD2"/>
      </top>
      <bottom style="thin">
        <color rgb="FFA9BDD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E8D8CF"/>
      </left>
      <right style="thin">
        <color rgb="FFE8D8CF"/>
      </right>
      <top style="thin">
        <color rgb="FFE8D8CF"/>
      </top>
      <bottom style="thin">
        <color rgb="FFE8D8CF"/>
      </bottom>
      <diagonal/>
    </border>
    <border>
      <left style="thin">
        <color rgb="FFD6B29C"/>
      </left>
      <right style="thin">
        <color rgb="FFD6B29C"/>
      </right>
      <top style="thin">
        <color rgb="FFD6B29C"/>
      </top>
      <bottom style="thin">
        <color rgb="FFD6B29C"/>
      </bottom>
      <diagonal/>
    </border>
    <border>
      <left style="thin">
        <color rgb="FFA9BDD2"/>
      </left>
      <right style="thin">
        <color rgb="FFA9BDD2"/>
      </right>
      <top/>
      <bottom style="thin">
        <color rgb="FFA9BDD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7" fillId="5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8" fillId="3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10" fillId="6" borderId="4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top" wrapText="1"/>
    </xf>
    <xf numFmtId="0" fontId="8" fillId="3" borderId="3" xfId="0" applyFont="1" applyFill="1" applyBorder="1" applyAlignment="1">
      <alignment vertical="top" wrapText="1"/>
    </xf>
    <xf numFmtId="0" fontId="12" fillId="5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8" fillId="7" borderId="6" xfId="0" applyFont="1" applyFill="1" applyBorder="1" applyAlignment="1">
      <alignment vertical="top" wrapText="1"/>
    </xf>
    <xf numFmtId="0" fontId="9" fillId="7" borderId="6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5" fillId="9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ptos"/>
        <family val="2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9BDD2"/>
        </left>
        <right style="thin">
          <color rgb="FFA9BDD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2937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4E78"/>
        <name val="Aptos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2E75B6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2937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A9BDD2"/>
        </bottom>
      </border>
    </dxf>
    <dxf>
      <border outline="0">
        <top style="thin">
          <color rgb="FFA9BDD2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D864F-3297-496F-BF74-DDF3E97DD094}" name="Tabela1" displayName="Tabela1" ref="A2:D41" totalsRowShown="0" headerRowDxfId="0" headerRowBorderDxfId="5" tableBorderDxfId="6">
  <sortState xmlns:xlrd2="http://schemas.microsoft.com/office/spreadsheetml/2017/richdata2" ref="A3:D41">
    <sortCondition ref="D2:D41"/>
  </sortState>
  <tableColumns count="4">
    <tableColumn id="1" xr3:uid="{AE60897F-0B7F-4EC2-9BFF-A5CD1BF27425}" name="componente" dataDxfId="4"/>
    <tableColumn id="2" xr3:uid="{FE1F9EA0-B03E-4248-B578-A1910436B56E}" name="arquivo " dataDxfId="3"/>
    <tableColumn id="3" xr3:uid="{0DA597EF-3E72-4C06-95C4-5E18B12C43D8}" name="variável" dataDxfId="1"/>
    <tableColumn id="4" xr3:uid="{7B8ADEFD-7AA5-4370-84A2-FB4BA1A8B9F3}" name="id_nw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D54E-BABD-4280-BBA0-34CEC2195030}">
  <sheetPr>
    <tabColor theme="0"/>
  </sheetPr>
  <dimension ref="A2:H45"/>
  <sheetViews>
    <sheetView zoomScale="70" zoomScaleNormal="70" workbookViewId="0">
      <selection activeCell="D32" sqref="D32"/>
    </sheetView>
  </sheetViews>
  <sheetFormatPr defaultRowHeight="15" x14ac:dyDescent="0.25"/>
  <cols>
    <col min="1" max="1" width="21.42578125" style="11" customWidth="1"/>
    <col min="2" max="2" width="36.140625" style="11" customWidth="1"/>
    <col min="3" max="3" width="63.85546875" style="11" bestFit="1" customWidth="1"/>
    <col min="5" max="5" width="9.140625" style="24"/>
    <col min="6" max="6" width="39.5703125" customWidth="1"/>
    <col min="7" max="7" width="64.42578125" customWidth="1"/>
    <col min="8" max="8" width="22.85546875" customWidth="1"/>
  </cols>
  <sheetData>
    <row r="2" spans="1:8" ht="42" x14ac:dyDescent="0.25">
      <c r="A2" s="18" t="s">
        <v>4</v>
      </c>
      <c r="B2" s="18" t="s">
        <v>0</v>
      </c>
      <c r="C2" s="18" t="s">
        <v>1</v>
      </c>
      <c r="D2" s="19" t="s">
        <v>11</v>
      </c>
      <c r="E2" s="22"/>
      <c r="F2" s="14" t="s">
        <v>2</v>
      </c>
      <c r="G2" s="14" t="s">
        <v>3</v>
      </c>
      <c r="H2" s="14" t="s">
        <v>11</v>
      </c>
    </row>
    <row r="3" spans="1:8" ht="42" x14ac:dyDescent="0.25">
      <c r="A3" s="12" t="s">
        <v>87</v>
      </c>
      <c r="B3" s="13" t="s">
        <v>88</v>
      </c>
      <c r="C3" s="12" t="s">
        <v>97</v>
      </c>
      <c r="D3" s="30">
        <v>1</v>
      </c>
      <c r="E3" s="23"/>
      <c r="F3" s="15" t="s">
        <v>127</v>
      </c>
      <c r="G3" s="16" t="s">
        <v>78</v>
      </c>
      <c r="H3" s="17">
        <v>1</v>
      </c>
    </row>
    <row r="4" spans="1:8" ht="42" x14ac:dyDescent="0.25">
      <c r="A4" s="12" t="s">
        <v>95</v>
      </c>
      <c r="B4" s="13" t="s">
        <v>96</v>
      </c>
      <c r="C4" s="12" t="s">
        <v>97</v>
      </c>
      <c r="D4" s="30">
        <v>1</v>
      </c>
      <c r="E4" s="23"/>
      <c r="F4" s="15" t="s">
        <v>127</v>
      </c>
      <c r="G4" s="16" t="s">
        <v>79</v>
      </c>
      <c r="H4" s="17">
        <v>2</v>
      </c>
    </row>
    <row r="5" spans="1:8" ht="42" x14ac:dyDescent="0.25">
      <c r="A5" s="12" t="s">
        <v>106</v>
      </c>
      <c r="B5" s="13" t="s">
        <v>107</v>
      </c>
      <c r="C5" s="12" t="s">
        <v>97</v>
      </c>
      <c r="D5" s="30">
        <v>1</v>
      </c>
      <c r="E5" s="23"/>
      <c r="F5" s="15" t="s">
        <v>127</v>
      </c>
      <c r="G5" s="16" t="s">
        <v>128</v>
      </c>
      <c r="H5" s="17">
        <v>8</v>
      </c>
    </row>
    <row r="6" spans="1:8" ht="21" x14ac:dyDescent="0.25">
      <c r="A6" s="12" t="s">
        <v>116</v>
      </c>
      <c r="B6" s="13" t="s">
        <v>117</v>
      </c>
      <c r="C6" s="12" t="s">
        <v>97</v>
      </c>
      <c r="D6" s="30">
        <v>1</v>
      </c>
      <c r="E6" s="23"/>
      <c r="F6" s="15" t="s">
        <v>127</v>
      </c>
      <c r="G6" s="16" t="s">
        <v>80</v>
      </c>
      <c r="H6" s="17" t="s">
        <v>29</v>
      </c>
    </row>
    <row r="7" spans="1:8" ht="42" x14ac:dyDescent="0.25">
      <c r="A7" s="12" t="s">
        <v>87</v>
      </c>
      <c r="B7" s="13" t="s">
        <v>88</v>
      </c>
      <c r="C7" s="12" t="s">
        <v>89</v>
      </c>
      <c r="D7" s="30">
        <v>2</v>
      </c>
      <c r="E7" s="23"/>
      <c r="F7" s="15" t="s">
        <v>127</v>
      </c>
      <c r="G7" s="16" t="s">
        <v>85</v>
      </c>
      <c r="H7" s="17">
        <v>15</v>
      </c>
    </row>
    <row r="8" spans="1:8" ht="42" x14ac:dyDescent="0.25">
      <c r="A8" s="12" t="s">
        <v>95</v>
      </c>
      <c r="B8" s="13" t="s">
        <v>96</v>
      </c>
      <c r="C8" s="12" t="s">
        <v>89</v>
      </c>
      <c r="D8" s="30">
        <v>2</v>
      </c>
      <c r="E8" s="23"/>
      <c r="F8" s="15" t="s">
        <v>127</v>
      </c>
      <c r="G8" s="16" t="s">
        <v>86</v>
      </c>
      <c r="H8" s="17">
        <v>16</v>
      </c>
    </row>
    <row r="9" spans="1:8" ht="42" x14ac:dyDescent="0.25">
      <c r="A9" s="12" t="s">
        <v>87</v>
      </c>
      <c r="B9" s="13" t="s">
        <v>88</v>
      </c>
      <c r="C9" s="12" t="s">
        <v>90</v>
      </c>
      <c r="D9" s="30">
        <v>3</v>
      </c>
      <c r="E9" s="23"/>
      <c r="F9" s="15" t="s">
        <v>127</v>
      </c>
      <c r="G9" s="16" t="s">
        <v>81</v>
      </c>
      <c r="H9" s="17">
        <v>13</v>
      </c>
    </row>
    <row r="10" spans="1:8" ht="42" x14ac:dyDescent="0.25">
      <c r="A10" s="12" t="s">
        <v>87</v>
      </c>
      <c r="B10" s="13" t="s">
        <v>88</v>
      </c>
      <c r="C10" s="12" t="s">
        <v>91</v>
      </c>
      <c r="D10" s="30">
        <v>4</v>
      </c>
      <c r="E10" s="23"/>
      <c r="F10" s="15" t="s">
        <v>127</v>
      </c>
      <c r="G10" s="16" t="s">
        <v>83</v>
      </c>
      <c r="H10" s="17">
        <v>7</v>
      </c>
    </row>
    <row r="11" spans="1:8" ht="42" x14ac:dyDescent="0.25">
      <c r="A11" s="12" t="s">
        <v>87</v>
      </c>
      <c r="B11" s="13" t="s">
        <v>88</v>
      </c>
      <c r="C11" s="12" t="s">
        <v>92</v>
      </c>
      <c r="D11" s="30">
        <v>5</v>
      </c>
      <c r="E11" s="23"/>
      <c r="F11" s="15" t="s">
        <v>127</v>
      </c>
      <c r="G11" s="16" t="s">
        <v>82</v>
      </c>
      <c r="H11" s="17" t="s">
        <v>10</v>
      </c>
    </row>
    <row r="12" spans="1:8" ht="42" x14ac:dyDescent="0.25">
      <c r="A12" s="12" t="s">
        <v>87</v>
      </c>
      <c r="B12" s="13" t="s">
        <v>88</v>
      </c>
      <c r="C12" s="12" t="s">
        <v>93</v>
      </c>
      <c r="D12" s="30">
        <v>6</v>
      </c>
      <c r="E12" s="23"/>
      <c r="F12" s="15" t="s">
        <v>127</v>
      </c>
      <c r="G12" s="16" t="s">
        <v>84</v>
      </c>
      <c r="H12" s="17">
        <v>26</v>
      </c>
    </row>
    <row r="13" spans="1:8" ht="42" x14ac:dyDescent="0.25">
      <c r="A13" s="12" t="s">
        <v>87</v>
      </c>
      <c r="B13" s="13" t="s">
        <v>88</v>
      </c>
      <c r="C13" s="12" t="s">
        <v>94</v>
      </c>
      <c r="D13" s="30">
        <v>7</v>
      </c>
      <c r="E13" s="23"/>
      <c r="F13" s="15" t="s">
        <v>127</v>
      </c>
      <c r="G13" s="16" t="s">
        <v>77</v>
      </c>
      <c r="H13" s="17">
        <v>27</v>
      </c>
    </row>
    <row r="14" spans="1:8" ht="42" x14ac:dyDescent="0.25">
      <c r="A14" s="12" t="s">
        <v>95</v>
      </c>
      <c r="B14" s="13" t="s">
        <v>96</v>
      </c>
      <c r="C14" s="12" t="s">
        <v>98</v>
      </c>
      <c r="D14" s="30">
        <v>8</v>
      </c>
      <c r="E14" s="23"/>
      <c r="F14" s="15" t="s">
        <v>129</v>
      </c>
      <c r="G14" s="16" t="s">
        <v>76</v>
      </c>
      <c r="H14" s="17">
        <v>1</v>
      </c>
    </row>
    <row r="15" spans="1:8" ht="42" x14ac:dyDescent="0.25">
      <c r="A15" s="12" t="s">
        <v>95</v>
      </c>
      <c r="B15" s="13" t="s">
        <v>96</v>
      </c>
      <c r="C15" s="12" t="s">
        <v>99</v>
      </c>
      <c r="D15" s="30">
        <v>9</v>
      </c>
      <c r="E15" s="23"/>
      <c r="F15" s="15" t="s">
        <v>129</v>
      </c>
      <c r="G15" s="16" t="s">
        <v>26</v>
      </c>
      <c r="H15" s="17" t="s">
        <v>131</v>
      </c>
    </row>
    <row r="16" spans="1:8" ht="42" x14ac:dyDescent="0.25">
      <c r="A16" s="12" t="s">
        <v>95</v>
      </c>
      <c r="B16" s="13" t="s">
        <v>96</v>
      </c>
      <c r="C16" s="12" t="s">
        <v>100</v>
      </c>
      <c r="D16" s="30">
        <v>10</v>
      </c>
      <c r="E16" s="23"/>
      <c r="F16" s="15" t="s">
        <v>129</v>
      </c>
      <c r="G16" s="16" t="s">
        <v>75</v>
      </c>
      <c r="H16" s="17">
        <v>21</v>
      </c>
    </row>
    <row r="17" spans="1:8" ht="42" x14ac:dyDescent="0.25">
      <c r="A17" s="12" t="s">
        <v>101</v>
      </c>
      <c r="B17" s="13" t="s">
        <v>102</v>
      </c>
      <c r="C17" s="12" t="s">
        <v>100</v>
      </c>
      <c r="D17" s="30">
        <v>10</v>
      </c>
      <c r="E17" s="23"/>
      <c r="F17" s="15" t="s">
        <v>129</v>
      </c>
      <c r="G17" s="16" t="s">
        <v>65</v>
      </c>
      <c r="H17" s="17" t="s">
        <v>130</v>
      </c>
    </row>
    <row r="18" spans="1:8" ht="42" x14ac:dyDescent="0.25">
      <c r="A18" s="12" t="s">
        <v>101</v>
      </c>
      <c r="B18" s="13" t="s">
        <v>102</v>
      </c>
      <c r="C18" s="12" t="s">
        <v>103</v>
      </c>
      <c r="D18" s="30">
        <v>11</v>
      </c>
      <c r="E18" s="23"/>
      <c r="F18" s="15" t="s">
        <v>129</v>
      </c>
      <c r="G18" s="16" t="s">
        <v>74</v>
      </c>
      <c r="H18" s="17">
        <v>13</v>
      </c>
    </row>
    <row r="19" spans="1:8" ht="21" x14ac:dyDescent="0.25">
      <c r="A19" s="12" t="s">
        <v>101</v>
      </c>
      <c r="B19" s="13" t="s">
        <v>102</v>
      </c>
      <c r="C19" s="12" t="s">
        <v>104</v>
      </c>
      <c r="D19" s="30">
        <v>12</v>
      </c>
      <c r="E19" s="23"/>
      <c r="F19" s="15" t="s">
        <v>132</v>
      </c>
      <c r="G19" s="16" t="s">
        <v>134</v>
      </c>
      <c r="H19" s="17">
        <v>25</v>
      </c>
    </row>
    <row r="20" spans="1:8" ht="42" x14ac:dyDescent="0.25">
      <c r="A20" s="12" t="s">
        <v>101</v>
      </c>
      <c r="B20" s="13" t="s">
        <v>102</v>
      </c>
      <c r="C20" s="12" t="s">
        <v>105</v>
      </c>
      <c r="D20" s="30">
        <v>13</v>
      </c>
      <c r="E20" s="23"/>
      <c r="F20" s="15" t="s">
        <v>132</v>
      </c>
      <c r="G20" s="16" t="s">
        <v>133</v>
      </c>
      <c r="H20" s="17">
        <v>29</v>
      </c>
    </row>
    <row r="21" spans="1:8" ht="42" x14ac:dyDescent="0.25">
      <c r="A21" s="12" t="s">
        <v>106</v>
      </c>
      <c r="B21" s="13" t="s">
        <v>107</v>
      </c>
      <c r="C21" s="12" t="s">
        <v>108</v>
      </c>
      <c r="D21" s="30">
        <v>14</v>
      </c>
      <c r="E21" s="23"/>
      <c r="G21" s="16"/>
    </row>
    <row r="22" spans="1:8" ht="42" x14ac:dyDescent="0.25">
      <c r="A22" s="12" t="s">
        <v>106</v>
      </c>
      <c r="B22" s="13" t="s">
        <v>107</v>
      </c>
      <c r="C22" s="12" t="s">
        <v>114</v>
      </c>
      <c r="D22" s="30">
        <v>15</v>
      </c>
      <c r="E22" s="23"/>
    </row>
    <row r="23" spans="1:8" ht="42" x14ac:dyDescent="0.25">
      <c r="A23" s="12" t="s">
        <v>106</v>
      </c>
      <c r="B23" s="13" t="s">
        <v>107</v>
      </c>
      <c r="C23" s="12" t="s">
        <v>115</v>
      </c>
      <c r="D23" s="30">
        <v>16</v>
      </c>
      <c r="E23" s="23"/>
    </row>
    <row r="24" spans="1:8" ht="42" x14ac:dyDescent="0.25">
      <c r="A24" s="12" t="s">
        <v>106</v>
      </c>
      <c r="B24" s="13" t="s">
        <v>107</v>
      </c>
      <c r="C24" s="12" t="s">
        <v>109</v>
      </c>
      <c r="D24" s="30">
        <v>17</v>
      </c>
      <c r="E24" s="23"/>
    </row>
    <row r="25" spans="1:8" ht="42" x14ac:dyDescent="0.25">
      <c r="A25" s="12" t="s">
        <v>106</v>
      </c>
      <c r="B25" s="13" t="s">
        <v>107</v>
      </c>
      <c r="C25" s="12" t="s">
        <v>111</v>
      </c>
      <c r="D25" s="30">
        <v>18</v>
      </c>
      <c r="E25" s="23"/>
    </row>
    <row r="26" spans="1:8" ht="42" x14ac:dyDescent="0.25">
      <c r="A26" s="12" t="s">
        <v>106</v>
      </c>
      <c r="B26" s="13" t="s">
        <v>107</v>
      </c>
      <c r="C26" s="12" t="s">
        <v>113</v>
      </c>
      <c r="D26" s="30">
        <v>19</v>
      </c>
      <c r="E26" s="23"/>
    </row>
    <row r="27" spans="1:8" ht="42" x14ac:dyDescent="0.25">
      <c r="A27" s="12" t="s">
        <v>106</v>
      </c>
      <c r="B27" s="13" t="s">
        <v>107</v>
      </c>
      <c r="C27" s="12" t="s">
        <v>112</v>
      </c>
      <c r="D27" s="30">
        <v>20</v>
      </c>
      <c r="E27" s="23"/>
    </row>
    <row r="28" spans="1:8" ht="42" x14ac:dyDescent="0.25">
      <c r="A28" s="12" t="s">
        <v>106</v>
      </c>
      <c r="B28" s="13" t="s">
        <v>107</v>
      </c>
      <c r="C28" s="12" t="s">
        <v>110</v>
      </c>
      <c r="D28" s="30">
        <v>21</v>
      </c>
      <c r="E28" s="23"/>
    </row>
    <row r="29" spans="1:8" ht="21" x14ac:dyDescent="0.25">
      <c r="A29" s="12" t="s">
        <v>116</v>
      </c>
      <c r="B29" s="13" t="s">
        <v>117</v>
      </c>
      <c r="C29" s="12" t="s">
        <v>118</v>
      </c>
      <c r="D29" s="30">
        <v>22</v>
      </c>
      <c r="E29" s="23"/>
    </row>
    <row r="30" spans="1:8" ht="21" x14ac:dyDescent="0.25">
      <c r="A30" s="12" t="s">
        <v>116</v>
      </c>
      <c r="B30" s="13" t="s">
        <v>117</v>
      </c>
      <c r="C30" s="12" t="s">
        <v>119</v>
      </c>
      <c r="D30" s="30">
        <v>23</v>
      </c>
      <c r="E30" s="23"/>
    </row>
    <row r="31" spans="1:8" ht="42" x14ac:dyDescent="0.25">
      <c r="A31" s="12" t="s">
        <v>116</v>
      </c>
      <c r="B31" s="13" t="s">
        <v>117</v>
      </c>
      <c r="C31" s="12" t="s">
        <v>120</v>
      </c>
      <c r="D31" s="30">
        <v>24</v>
      </c>
      <c r="E31" s="23"/>
    </row>
    <row r="32" spans="1:8" ht="42" x14ac:dyDescent="0.25">
      <c r="A32" s="25" t="s">
        <v>121</v>
      </c>
      <c r="B32" s="26" t="s">
        <v>122</v>
      </c>
      <c r="C32" s="25" t="s">
        <v>135</v>
      </c>
      <c r="D32" s="31">
        <v>25</v>
      </c>
      <c r="E32" s="23"/>
    </row>
    <row r="33" spans="1:6" ht="42" x14ac:dyDescent="0.25">
      <c r="A33" s="20" t="s">
        <v>121</v>
      </c>
      <c r="B33" s="21" t="s">
        <v>122</v>
      </c>
      <c r="C33" s="20" t="s">
        <v>123</v>
      </c>
      <c r="D33" s="32">
        <v>26</v>
      </c>
      <c r="E33" s="23"/>
    </row>
    <row r="34" spans="1:6" ht="42" x14ac:dyDescent="0.25">
      <c r="A34" s="20" t="s">
        <v>121</v>
      </c>
      <c r="B34" s="21" t="s">
        <v>122</v>
      </c>
      <c r="C34" s="20" t="s">
        <v>124</v>
      </c>
      <c r="D34" s="32">
        <v>27</v>
      </c>
      <c r="E34" s="23"/>
    </row>
    <row r="35" spans="1:6" ht="42" x14ac:dyDescent="0.25">
      <c r="A35" s="20" t="s">
        <v>121</v>
      </c>
      <c r="B35" s="21" t="s">
        <v>122</v>
      </c>
      <c r="C35" s="20" t="s">
        <v>125</v>
      </c>
      <c r="D35" s="32">
        <v>28</v>
      </c>
      <c r="E35" s="23"/>
    </row>
    <row r="36" spans="1:6" ht="42" x14ac:dyDescent="0.25">
      <c r="A36" s="25" t="s">
        <v>121</v>
      </c>
      <c r="B36" s="26" t="s">
        <v>122</v>
      </c>
      <c r="C36" s="25" t="s">
        <v>126</v>
      </c>
      <c r="D36" s="31">
        <v>29</v>
      </c>
      <c r="E36" s="23"/>
    </row>
    <row r="37" spans="1:6" ht="21" x14ac:dyDescent="0.25">
      <c r="A37" s="20"/>
      <c r="B37" s="21"/>
      <c r="C37" s="20"/>
      <c r="D37" s="27"/>
    </row>
    <row r="38" spans="1:6" ht="21" x14ac:dyDescent="0.25">
      <c r="A38" s="27"/>
      <c r="B38" s="28"/>
      <c r="C38" s="27"/>
      <c r="D38" s="29"/>
      <c r="E38" s="29"/>
      <c r="F38" s="29"/>
    </row>
    <row r="39" spans="1:6" ht="21" x14ac:dyDescent="0.25">
      <c r="A39" s="27"/>
      <c r="B39" s="28"/>
      <c r="C39" s="27"/>
      <c r="D39" s="29"/>
      <c r="E39" s="29"/>
      <c r="F39" s="29"/>
    </row>
    <row r="40" spans="1:6" ht="21" x14ac:dyDescent="0.25">
      <c r="A40" s="27"/>
      <c r="B40" s="28"/>
      <c r="C40" s="27"/>
      <c r="D40" s="29"/>
      <c r="E40" s="29"/>
      <c r="F40" s="29"/>
    </row>
    <row r="41" spans="1:6" ht="21" x14ac:dyDescent="0.25">
      <c r="A41" s="27"/>
      <c r="B41" s="28"/>
      <c r="C41" s="27"/>
      <c r="D41" s="29"/>
      <c r="E41" s="29"/>
      <c r="F41" s="29"/>
    </row>
    <row r="42" spans="1:6" x14ac:dyDescent="0.25">
      <c r="E42" s="29"/>
      <c r="F42" s="29"/>
    </row>
    <row r="43" spans="1:6" x14ac:dyDescent="0.25">
      <c r="E43" s="29"/>
      <c r="F43" s="29"/>
    </row>
    <row r="44" spans="1:6" x14ac:dyDescent="0.25">
      <c r="E44" s="29"/>
      <c r="F44" s="29"/>
    </row>
    <row r="45" spans="1:6" x14ac:dyDescent="0.25">
      <c r="E45" s="29"/>
      <c r="F45" s="2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E199-286E-49E9-9932-6C0ABFC31B58}">
  <sheetPr>
    <tabColor theme="0"/>
  </sheetPr>
  <dimension ref="A2:H14"/>
  <sheetViews>
    <sheetView workbookViewId="0">
      <selection activeCell="C20" sqref="C20"/>
    </sheetView>
  </sheetViews>
  <sheetFormatPr defaultRowHeight="15" x14ac:dyDescent="0.25"/>
  <cols>
    <col min="1" max="1" width="12" bestFit="1" customWidth="1"/>
    <col min="2" max="2" width="15.7109375" bestFit="1" customWidth="1"/>
    <col min="3" max="3" width="35.7109375" bestFit="1" customWidth="1"/>
    <col min="4" max="4" width="6.140625" bestFit="1" customWidth="1"/>
    <col min="6" max="6" width="25" bestFit="1" customWidth="1"/>
    <col min="7" max="7" width="35.7109375" bestFit="1" customWidth="1"/>
    <col min="8" max="8" width="12" bestFit="1" customWidth="1"/>
  </cols>
  <sheetData>
    <row r="2" spans="1:8" x14ac:dyDescent="0.25">
      <c r="A2" s="3" t="s">
        <v>4</v>
      </c>
      <c r="B2" s="3" t="s">
        <v>12</v>
      </c>
      <c r="C2" s="3" t="s">
        <v>1</v>
      </c>
      <c r="D2" s="3" t="s">
        <v>11</v>
      </c>
      <c r="F2" s="10" t="s">
        <v>13</v>
      </c>
      <c r="G2" s="10" t="s">
        <v>3</v>
      </c>
      <c r="H2" s="10" t="s">
        <v>11</v>
      </c>
    </row>
    <row r="3" spans="1:8" ht="27" x14ac:dyDescent="0.25">
      <c r="A3" s="4" t="s">
        <v>14</v>
      </c>
      <c r="B3" s="5" t="s">
        <v>15</v>
      </c>
      <c r="C3" s="4" t="s">
        <v>20</v>
      </c>
      <c r="D3" s="6">
        <v>1</v>
      </c>
      <c r="F3" s="7" t="s">
        <v>16</v>
      </c>
      <c r="G3" s="8" t="s">
        <v>25</v>
      </c>
      <c r="H3" s="9">
        <v>1</v>
      </c>
    </row>
    <row r="4" spans="1:8" ht="27" x14ac:dyDescent="0.25">
      <c r="A4" s="4" t="s">
        <v>14</v>
      </c>
      <c r="B4" s="5" t="s">
        <v>15</v>
      </c>
      <c r="C4" s="4" t="s">
        <v>21</v>
      </c>
      <c r="D4" s="6">
        <v>2</v>
      </c>
      <c r="F4" s="7" t="s">
        <v>16</v>
      </c>
      <c r="G4" s="8" t="s">
        <v>26</v>
      </c>
      <c r="H4" s="9" t="str">
        <f>"2/3"</f>
        <v>2/3</v>
      </c>
    </row>
    <row r="5" spans="1:8" ht="27" x14ac:dyDescent="0.25">
      <c r="A5" s="4" t="s">
        <v>14</v>
      </c>
      <c r="B5" s="5" t="s">
        <v>15</v>
      </c>
      <c r="C5" s="4" t="s">
        <v>22</v>
      </c>
      <c r="D5" s="6">
        <v>3</v>
      </c>
      <c r="F5" s="7" t="s">
        <v>16</v>
      </c>
      <c r="G5" s="8" t="s">
        <v>27</v>
      </c>
      <c r="H5" s="9">
        <v>4</v>
      </c>
    </row>
    <row r="6" spans="1:8" ht="27" x14ac:dyDescent="0.25">
      <c r="A6" s="4" t="s">
        <v>14</v>
      </c>
      <c r="B6" s="5" t="s">
        <v>15</v>
      </c>
      <c r="C6" s="4" t="s">
        <v>23</v>
      </c>
      <c r="D6" s="6">
        <v>4</v>
      </c>
      <c r="F6" s="7" t="s">
        <v>16</v>
      </c>
      <c r="G6" s="8" t="s">
        <v>28</v>
      </c>
      <c r="H6" s="9" t="s">
        <v>29</v>
      </c>
    </row>
    <row r="7" spans="1:8" x14ac:dyDescent="0.25">
      <c r="A7" s="4" t="s">
        <v>14</v>
      </c>
      <c r="B7" s="5" t="s">
        <v>17</v>
      </c>
      <c r="C7" s="4" t="s">
        <v>20</v>
      </c>
      <c r="D7" s="6">
        <v>1</v>
      </c>
      <c r="F7" s="7" t="s">
        <v>18</v>
      </c>
      <c r="G7" s="8" t="s">
        <v>25</v>
      </c>
      <c r="H7" s="9">
        <v>1</v>
      </c>
    </row>
    <row r="8" spans="1:8" x14ac:dyDescent="0.25">
      <c r="A8" s="4" t="s">
        <v>14</v>
      </c>
      <c r="B8" s="5" t="s">
        <v>17</v>
      </c>
      <c r="C8" s="4" t="s">
        <v>21</v>
      </c>
      <c r="D8" s="6">
        <v>2</v>
      </c>
      <c r="F8" s="7" t="s">
        <v>18</v>
      </c>
      <c r="G8" s="8" t="s">
        <v>26</v>
      </c>
      <c r="H8" s="9" t="str">
        <f>"2/3"</f>
        <v>2/3</v>
      </c>
    </row>
    <row r="9" spans="1:8" x14ac:dyDescent="0.25">
      <c r="A9" s="4" t="s">
        <v>14</v>
      </c>
      <c r="B9" s="5" t="s">
        <v>17</v>
      </c>
      <c r="C9" s="4" t="s">
        <v>22</v>
      </c>
      <c r="D9" s="6">
        <v>3</v>
      </c>
      <c r="F9" s="7" t="s">
        <v>18</v>
      </c>
      <c r="G9" s="8" t="s">
        <v>30</v>
      </c>
      <c r="H9" s="9">
        <v>5</v>
      </c>
    </row>
    <row r="10" spans="1:8" x14ac:dyDescent="0.25">
      <c r="A10" s="4" t="s">
        <v>14</v>
      </c>
      <c r="B10" s="5" t="s">
        <v>17</v>
      </c>
      <c r="C10" s="4" t="s">
        <v>31</v>
      </c>
      <c r="D10" s="6">
        <v>5</v>
      </c>
      <c r="F10" s="7" t="s">
        <v>18</v>
      </c>
      <c r="G10" s="8" t="s">
        <v>32</v>
      </c>
      <c r="H10" s="9">
        <v>6</v>
      </c>
    </row>
    <row r="11" spans="1:8" x14ac:dyDescent="0.25">
      <c r="A11" s="4" t="s">
        <v>14</v>
      </c>
      <c r="B11" s="5" t="s">
        <v>17</v>
      </c>
      <c r="C11" s="4" t="s">
        <v>24</v>
      </c>
      <c r="D11" s="6">
        <v>6</v>
      </c>
      <c r="F11" s="2"/>
    </row>
    <row r="12" spans="1:8" x14ac:dyDescent="0.25">
      <c r="A12" s="4" t="s">
        <v>14</v>
      </c>
      <c r="B12" s="5" t="s">
        <v>17</v>
      </c>
      <c r="C12" s="4" t="s">
        <v>21</v>
      </c>
      <c r="D12" s="6">
        <v>2</v>
      </c>
      <c r="F12" s="2"/>
    </row>
    <row r="13" spans="1:8" x14ac:dyDescent="0.25">
      <c r="A13" s="4" t="s">
        <v>14</v>
      </c>
      <c r="B13" s="5" t="s">
        <v>17</v>
      </c>
      <c r="C13" s="4" t="s">
        <v>22</v>
      </c>
      <c r="D13" s="6">
        <v>3</v>
      </c>
    </row>
    <row r="14" spans="1:8" x14ac:dyDescent="0.25">
      <c r="A14" s="4" t="s">
        <v>14</v>
      </c>
      <c r="B14" s="5" t="s">
        <v>17</v>
      </c>
      <c r="C14" s="4" t="s">
        <v>20</v>
      </c>
      <c r="D14" s="6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9662-529B-4E60-A5AD-E970616B3435}">
  <sheetPr>
    <tabColor theme="0"/>
  </sheetPr>
  <dimension ref="A2:H24"/>
  <sheetViews>
    <sheetView workbookViewId="0">
      <selection activeCell="C23" sqref="C23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35.7109375" bestFit="1" customWidth="1"/>
    <col min="4" max="4" width="6.140625" bestFit="1" customWidth="1"/>
    <col min="5" max="5" width="9.42578125" customWidth="1"/>
    <col min="6" max="6" width="25" bestFit="1" customWidth="1"/>
    <col min="7" max="7" width="35.7109375" bestFit="1" customWidth="1"/>
    <col min="8" max="8" width="7.7109375" bestFit="1" customWidth="1"/>
  </cols>
  <sheetData>
    <row r="2" spans="1:8" x14ac:dyDescent="0.25">
      <c r="A2" s="3" t="s">
        <v>4</v>
      </c>
      <c r="B2" s="3" t="s">
        <v>12</v>
      </c>
      <c r="C2" s="3" t="s">
        <v>1</v>
      </c>
      <c r="D2" s="3" t="s">
        <v>11</v>
      </c>
      <c r="F2" s="10" t="s">
        <v>13</v>
      </c>
      <c r="G2" s="10" t="s">
        <v>3</v>
      </c>
      <c r="H2" s="10" t="s">
        <v>11</v>
      </c>
    </row>
    <row r="3" spans="1:8" x14ac:dyDescent="0.25">
      <c r="A3" s="4" t="s">
        <v>19</v>
      </c>
      <c r="B3" s="5" t="s">
        <v>15</v>
      </c>
      <c r="C3" s="4" t="s">
        <v>6</v>
      </c>
      <c r="D3" s="6">
        <v>1</v>
      </c>
      <c r="F3" s="7" t="s">
        <v>55</v>
      </c>
      <c r="G3" s="8" t="s">
        <v>8</v>
      </c>
      <c r="H3" s="9">
        <v>1</v>
      </c>
    </row>
    <row r="4" spans="1:8" x14ac:dyDescent="0.25">
      <c r="A4" s="4" t="s">
        <v>19</v>
      </c>
      <c r="B4" s="5" t="s">
        <v>15</v>
      </c>
      <c r="C4" s="4" t="s">
        <v>9</v>
      </c>
      <c r="D4" s="6">
        <v>2</v>
      </c>
      <c r="F4" s="7" t="s">
        <v>55</v>
      </c>
      <c r="G4" s="8" t="s">
        <v>43</v>
      </c>
      <c r="H4" s="9">
        <v>2</v>
      </c>
    </row>
    <row r="5" spans="1:8" x14ac:dyDescent="0.25">
      <c r="A5" s="4" t="s">
        <v>19</v>
      </c>
      <c r="B5" s="5" t="s">
        <v>15</v>
      </c>
      <c r="C5" s="4" t="s">
        <v>34</v>
      </c>
      <c r="D5" s="6">
        <v>3</v>
      </c>
      <c r="F5" s="7" t="s">
        <v>55</v>
      </c>
      <c r="G5" s="8" t="s">
        <v>44</v>
      </c>
      <c r="H5" s="9" t="s">
        <v>29</v>
      </c>
    </row>
    <row r="6" spans="1:8" x14ac:dyDescent="0.25">
      <c r="A6" s="4" t="s">
        <v>19</v>
      </c>
      <c r="B6" s="5" t="s">
        <v>15</v>
      </c>
      <c r="C6" s="4" t="s">
        <v>35</v>
      </c>
      <c r="D6" s="6">
        <v>4</v>
      </c>
      <c r="F6" s="7" t="s">
        <v>55</v>
      </c>
      <c r="G6" s="8" t="s">
        <v>56</v>
      </c>
      <c r="H6" s="9">
        <v>6</v>
      </c>
    </row>
    <row r="7" spans="1:8" x14ac:dyDescent="0.25">
      <c r="A7" s="4" t="s">
        <v>19</v>
      </c>
      <c r="B7" s="5" t="s">
        <v>15</v>
      </c>
      <c r="C7" s="4" t="s">
        <v>33</v>
      </c>
      <c r="D7" s="6">
        <v>5</v>
      </c>
      <c r="F7" s="7" t="s">
        <v>55</v>
      </c>
      <c r="G7" s="8" t="s">
        <v>57</v>
      </c>
      <c r="H7" s="9">
        <v>5</v>
      </c>
    </row>
    <row r="8" spans="1:8" x14ac:dyDescent="0.25">
      <c r="A8" s="4" t="s">
        <v>19</v>
      </c>
      <c r="B8" s="5" t="s">
        <v>15</v>
      </c>
      <c r="C8" s="4" t="s">
        <v>36</v>
      </c>
      <c r="D8" s="6">
        <v>6</v>
      </c>
      <c r="F8" s="7" t="s">
        <v>42</v>
      </c>
      <c r="G8" s="8" t="s">
        <v>8</v>
      </c>
      <c r="H8" s="9" t="str">
        <f>"7/8"</f>
        <v>7/8</v>
      </c>
    </row>
    <row r="9" spans="1:8" x14ac:dyDescent="0.25">
      <c r="A9" s="4" t="s">
        <v>37</v>
      </c>
      <c r="B9" s="5" t="s">
        <v>15</v>
      </c>
      <c r="C9" s="4" t="s">
        <v>38</v>
      </c>
      <c r="D9" s="6">
        <v>7</v>
      </c>
      <c r="F9" s="7" t="s">
        <v>42</v>
      </c>
      <c r="G9" s="8" t="s">
        <v>43</v>
      </c>
      <c r="H9" s="9" t="str">
        <f>"7/8"</f>
        <v>7/8</v>
      </c>
    </row>
    <row r="10" spans="1:8" x14ac:dyDescent="0.25">
      <c r="A10" s="4" t="s">
        <v>37</v>
      </c>
      <c r="B10" s="5" t="s">
        <v>15</v>
      </c>
      <c r="C10" s="4" t="s">
        <v>39</v>
      </c>
      <c r="D10" s="6">
        <v>8</v>
      </c>
      <c r="F10" s="7" t="s">
        <v>42</v>
      </c>
      <c r="G10" s="8" t="s">
        <v>44</v>
      </c>
      <c r="H10" s="9" t="s">
        <v>29</v>
      </c>
    </row>
    <row r="11" spans="1:8" x14ac:dyDescent="0.25">
      <c r="A11" s="4" t="s">
        <v>37</v>
      </c>
      <c r="B11" s="5" t="s">
        <v>15</v>
      </c>
      <c r="C11" s="4" t="s">
        <v>21</v>
      </c>
      <c r="D11" s="6">
        <v>9</v>
      </c>
      <c r="F11" s="7" t="s">
        <v>42</v>
      </c>
      <c r="G11" s="8" t="s">
        <v>45</v>
      </c>
      <c r="H11" s="9">
        <v>7</v>
      </c>
    </row>
    <row r="12" spans="1:8" x14ac:dyDescent="0.25">
      <c r="A12" s="4" t="s">
        <v>37</v>
      </c>
      <c r="B12" s="5" t="s">
        <v>15</v>
      </c>
      <c r="C12" s="4" t="s">
        <v>40</v>
      </c>
      <c r="D12" s="6">
        <v>10</v>
      </c>
      <c r="F12" s="7" t="s">
        <v>42</v>
      </c>
      <c r="G12" s="8" t="s">
        <v>46</v>
      </c>
      <c r="H12" s="9">
        <v>8</v>
      </c>
    </row>
    <row r="13" spans="1:8" x14ac:dyDescent="0.25">
      <c r="A13" s="4" t="s">
        <v>37</v>
      </c>
      <c r="B13" s="5" t="s">
        <v>15</v>
      </c>
      <c r="C13" s="4" t="s">
        <v>41</v>
      </c>
      <c r="D13" s="6">
        <v>11</v>
      </c>
      <c r="F13" s="7" t="s">
        <v>42</v>
      </c>
      <c r="G13" s="8" t="s">
        <v>47</v>
      </c>
      <c r="H13" s="9">
        <v>11</v>
      </c>
    </row>
    <row r="14" spans="1:8" x14ac:dyDescent="0.25">
      <c r="A14" s="4" t="s">
        <v>14</v>
      </c>
      <c r="B14" s="5" t="s">
        <v>17</v>
      </c>
      <c r="C14" s="4" t="s">
        <v>31</v>
      </c>
      <c r="D14" s="6">
        <v>12</v>
      </c>
      <c r="F14" s="7" t="s">
        <v>42</v>
      </c>
      <c r="G14" s="8" t="s">
        <v>48</v>
      </c>
      <c r="H14" s="9">
        <v>11</v>
      </c>
    </row>
    <row r="15" spans="1:8" x14ac:dyDescent="0.25">
      <c r="A15" s="4" t="s">
        <v>14</v>
      </c>
      <c r="B15" s="5" t="s">
        <v>17</v>
      </c>
      <c r="C15" s="4" t="s">
        <v>24</v>
      </c>
      <c r="D15" s="6">
        <v>13</v>
      </c>
      <c r="F15" s="7" t="s">
        <v>42</v>
      </c>
      <c r="G15" s="8" t="s">
        <v>49</v>
      </c>
      <c r="H15" s="9" t="s">
        <v>50</v>
      </c>
    </row>
    <row r="16" spans="1:8" x14ac:dyDescent="0.25">
      <c r="A16" s="4" t="s">
        <v>14</v>
      </c>
      <c r="B16" s="5" t="s">
        <v>17</v>
      </c>
      <c r="C16" s="4" t="s">
        <v>21</v>
      </c>
      <c r="D16" s="6">
        <v>9</v>
      </c>
      <c r="F16" s="7" t="s">
        <v>51</v>
      </c>
      <c r="G16" s="8" t="s">
        <v>52</v>
      </c>
      <c r="H16" s="9" t="str">
        <f>"7/8"</f>
        <v>7/8</v>
      </c>
    </row>
    <row r="17" spans="1:8" x14ac:dyDescent="0.25">
      <c r="A17" s="4" t="s">
        <v>14</v>
      </c>
      <c r="B17" s="5" t="s">
        <v>17</v>
      </c>
      <c r="C17" s="4" t="s">
        <v>22</v>
      </c>
      <c r="D17" s="6">
        <v>10</v>
      </c>
      <c r="F17" s="7" t="s">
        <v>51</v>
      </c>
      <c r="G17" s="8" t="s">
        <v>26</v>
      </c>
      <c r="H17" s="9" t="str">
        <f>"9/10"</f>
        <v>9/10</v>
      </c>
    </row>
    <row r="18" spans="1:8" x14ac:dyDescent="0.25">
      <c r="A18" s="4" t="s">
        <v>14</v>
      </c>
      <c r="B18" s="5" t="s">
        <v>17</v>
      </c>
      <c r="C18" s="4" t="s">
        <v>38</v>
      </c>
      <c r="D18" s="6">
        <v>7</v>
      </c>
      <c r="F18" s="7" t="s">
        <v>51</v>
      </c>
      <c r="G18" s="8" t="s">
        <v>53</v>
      </c>
      <c r="H18" s="9">
        <v>11</v>
      </c>
    </row>
    <row r="19" spans="1:8" x14ac:dyDescent="0.25">
      <c r="A19" s="4" t="s">
        <v>14</v>
      </c>
      <c r="B19" s="5" t="s">
        <v>17</v>
      </c>
      <c r="C19" s="4" t="s">
        <v>39</v>
      </c>
      <c r="D19" s="6">
        <v>8</v>
      </c>
      <c r="F19" s="7" t="s">
        <v>51</v>
      </c>
      <c r="G19" s="8" t="s">
        <v>54</v>
      </c>
      <c r="H19" s="9">
        <v>11</v>
      </c>
    </row>
    <row r="20" spans="1:8" x14ac:dyDescent="0.25">
      <c r="F20" s="7" t="s">
        <v>58</v>
      </c>
      <c r="G20" s="8" t="s">
        <v>52</v>
      </c>
      <c r="H20" s="9" t="str">
        <f>"7/8"</f>
        <v>7/8</v>
      </c>
    </row>
    <row r="21" spans="1:8" x14ac:dyDescent="0.25">
      <c r="F21" s="7" t="s">
        <v>58</v>
      </c>
      <c r="G21" s="8" t="s">
        <v>26</v>
      </c>
      <c r="H21" s="9" t="str">
        <f>"9/10"</f>
        <v>9/10</v>
      </c>
    </row>
    <row r="22" spans="1:8" x14ac:dyDescent="0.25">
      <c r="F22" s="7" t="s">
        <v>58</v>
      </c>
      <c r="G22" s="8" t="s">
        <v>59</v>
      </c>
      <c r="H22" s="9">
        <v>12</v>
      </c>
    </row>
    <row r="23" spans="1:8" x14ac:dyDescent="0.25">
      <c r="F23" s="7" t="s">
        <v>58</v>
      </c>
      <c r="G23" s="8" t="s">
        <v>60</v>
      </c>
      <c r="H23" s="9">
        <v>13</v>
      </c>
    </row>
    <row r="24" spans="1:8" x14ac:dyDescent="0.25">
      <c r="F24" s="7" t="s">
        <v>58</v>
      </c>
      <c r="G24" s="8" t="s">
        <v>61</v>
      </c>
      <c r="H24" s="9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20F9-1D04-4485-B833-2FCB70E6250D}">
  <sheetPr>
    <tabColor theme="0"/>
  </sheetPr>
  <dimension ref="A2:H16"/>
  <sheetViews>
    <sheetView workbookViewId="0">
      <selection activeCell="F25" sqref="F25"/>
    </sheetView>
  </sheetViews>
  <sheetFormatPr defaultRowHeight="15" x14ac:dyDescent="0.25"/>
  <cols>
    <col min="1" max="1" width="23.85546875" bestFit="1" customWidth="1"/>
    <col min="2" max="2" width="15.7109375" bestFit="1" customWidth="1"/>
    <col min="3" max="3" width="30.28515625" bestFit="1" customWidth="1"/>
    <col min="4" max="4" width="6.140625" bestFit="1" customWidth="1"/>
    <col min="6" max="6" width="28.85546875" bestFit="1" customWidth="1"/>
    <col min="7" max="7" width="21.140625" bestFit="1" customWidth="1"/>
    <col min="8" max="8" width="6.140625" style="1" bestFit="1" customWidth="1"/>
  </cols>
  <sheetData>
    <row r="2" spans="1:8" x14ac:dyDescent="0.25">
      <c r="A2" s="3" t="s">
        <v>4</v>
      </c>
      <c r="B2" s="3" t="s">
        <v>12</v>
      </c>
      <c r="C2" s="3" t="s">
        <v>1</v>
      </c>
      <c r="D2" s="3" t="s">
        <v>11</v>
      </c>
      <c r="F2" s="10" t="s">
        <v>13</v>
      </c>
      <c r="G2" s="10" t="s">
        <v>3</v>
      </c>
      <c r="H2" s="10" t="s">
        <v>11</v>
      </c>
    </row>
    <row r="3" spans="1:8" x14ac:dyDescent="0.25">
      <c r="A3" s="4" t="s">
        <v>62</v>
      </c>
      <c r="B3" s="5" t="s">
        <v>15</v>
      </c>
      <c r="C3" s="4" t="s">
        <v>20</v>
      </c>
      <c r="D3" s="6">
        <v>1</v>
      </c>
      <c r="F3" s="7" t="s">
        <v>64</v>
      </c>
      <c r="G3" s="8" t="s">
        <v>8</v>
      </c>
      <c r="H3" s="9">
        <v>2</v>
      </c>
    </row>
    <row r="4" spans="1:8" x14ac:dyDescent="0.25">
      <c r="A4" s="4" t="s">
        <v>62</v>
      </c>
      <c r="B4" s="5" t="s">
        <v>15</v>
      </c>
      <c r="C4" s="4" t="s">
        <v>7</v>
      </c>
      <c r="D4" s="6">
        <v>2</v>
      </c>
      <c r="F4" s="7" t="s">
        <v>64</v>
      </c>
      <c r="G4" s="8" t="s">
        <v>43</v>
      </c>
      <c r="H4" s="9">
        <v>3</v>
      </c>
    </row>
    <row r="5" spans="1:8" x14ac:dyDescent="0.25">
      <c r="A5" s="4" t="s">
        <v>62</v>
      </c>
      <c r="B5" s="5" t="s">
        <v>15</v>
      </c>
      <c r="C5" s="4" t="s">
        <v>5</v>
      </c>
      <c r="D5" s="6">
        <v>3</v>
      </c>
      <c r="F5" s="7" t="s">
        <v>64</v>
      </c>
      <c r="G5" s="8" t="s">
        <v>44</v>
      </c>
      <c r="H5" s="9" t="s">
        <v>29</v>
      </c>
    </row>
    <row r="6" spans="1:8" x14ac:dyDescent="0.25">
      <c r="A6" s="4" t="s">
        <v>62</v>
      </c>
      <c r="B6" s="5" t="s">
        <v>15</v>
      </c>
      <c r="C6" s="4" t="s">
        <v>21</v>
      </c>
      <c r="D6" s="6">
        <v>4</v>
      </c>
      <c r="F6" s="7" t="s">
        <v>64</v>
      </c>
      <c r="G6" s="8" t="s">
        <v>25</v>
      </c>
      <c r="H6" s="9">
        <v>1</v>
      </c>
    </row>
    <row r="7" spans="1:8" x14ac:dyDescent="0.25">
      <c r="A7" s="4" t="s">
        <v>62</v>
      </c>
      <c r="B7" s="5" t="s">
        <v>15</v>
      </c>
      <c r="C7" s="4" t="s">
        <v>40</v>
      </c>
      <c r="D7" s="6">
        <v>5</v>
      </c>
      <c r="F7" s="7" t="s">
        <v>64</v>
      </c>
      <c r="G7" s="8" t="s">
        <v>65</v>
      </c>
      <c r="H7" s="9">
        <v>6</v>
      </c>
    </row>
    <row r="8" spans="1:8" x14ac:dyDescent="0.25">
      <c r="A8" s="4" t="s">
        <v>62</v>
      </c>
      <c r="B8" s="5" t="s">
        <v>15</v>
      </c>
      <c r="C8" s="4" t="s">
        <v>63</v>
      </c>
      <c r="D8" s="6">
        <v>6</v>
      </c>
      <c r="F8" s="7" t="s">
        <v>64</v>
      </c>
      <c r="G8" s="8" t="s">
        <v>66</v>
      </c>
      <c r="H8" s="9" t="s">
        <v>29</v>
      </c>
    </row>
    <row r="9" spans="1:8" x14ac:dyDescent="0.25">
      <c r="A9" s="4" t="s">
        <v>62</v>
      </c>
      <c r="B9" s="5" t="s">
        <v>17</v>
      </c>
      <c r="C9" s="4" t="s">
        <v>31</v>
      </c>
      <c r="D9" s="6">
        <v>7</v>
      </c>
      <c r="F9" s="7" t="s">
        <v>67</v>
      </c>
      <c r="G9" s="8" t="s">
        <v>68</v>
      </c>
      <c r="H9" s="9">
        <v>2</v>
      </c>
    </row>
    <row r="10" spans="1:8" x14ac:dyDescent="0.25">
      <c r="A10" s="4" t="s">
        <v>62</v>
      </c>
      <c r="B10" s="5" t="s">
        <v>17</v>
      </c>
      <c r="C10" s="4" t="s">
        <v>24</v>
      </c>
      <c r="D10" s="6">
        <v>8</v>
      </c>
      <c r="F10" s="7" t="s">
        <v>67</v>
      </c>
      <c r="G10" s="8" t="s">
        <v>26</v>
      </c>
      <c r="H10" s="9" t="str">
        <f>"4/5"</f>
        <v>4/5</v>
      </c>
    </row>
    <row r="11" spans="1:8" x14ac:dyDescent="0.25">
      <c r="A11" s="4" t="s">
        <v>62</v>
      </c>
      <c r="B11" s="5" t="s">
        <v>17</v>
      </c>
      <c r="C11" s="4" t="s">
        <v>21</v>
      </c>
      <c r="D11" s="6">
        <v>4</v>
      </c>
      <c r="F11" s="7" t="s">
        <v>67</v>
      </c>
      <c r="G11" s="8" t="s">
        <v>69</v>
      </c>
      <c r="H11" s="9">
        <v>6</v>
      </c>
    </row>
    <row r="12" spans="1:8" x14ac:dyDescent="0.25">
      <c r="A12" s="4" t="s">
        <v>62</v>
      </c>
      <c r="B12" s="5" t="s">
        <v>17</v>
      </c>
      <c r="C12" s="4" t="s">
        <v>22</v>
      </c>
      <c r="D12" s="6">
        <v>5</v>
      </c>
      <c r="F12" s="7" t="s">
        <v>67</v>
      </c>
      <c r="G12" s="8" t="s">
        <v>70</v>
      </c>
      <c r="H12" s="9" t="s">
        <v>29</v>
      </c>
    </row>
    <row r="13" spans="1:8" x14ac:dyDescent="0.25">
      <c r="A13" s="4" t="s">
        <v>62</v>
      </c>
      <c r="B13" s="5" t="s">
        <v>17</v>
      </c>
      <c r="C13" s="4" t="s">
        <v>20</v>
      </c>
      <c r="D13" s="6">
        <v>1</v>
      </c>
      <c r="F13" s="7" t="s">
        <v>71</v>
      </c>
      <c r="G13" s="8" t="s">
        <v>68</v>
      </c>
      <c r="H13" s="9">
        <v>2</v>
      </c>
    </row>
    <row r="14" spans="1:8" x14ac:dyDescent="0.25">
      <c r="A14" s="4" t="s">
        <v>62</v>
      </c>
      <c r="B14" s="5" t="s">
        <v>17</v>
      </c>
      <c r="C14" s="4" t="s">
        <v>7</v>
      </c>
      <c r="D14" s="6">
        <v>2</v>
      </c>
      <c r="F14" s="7" t="s">
        <v>71</v>
      </c>
      <c r="G14" s="8" t="s">
        <v>26</v>
      </c>
      <c r="H14" s="9" t="str">
        <f>"4/5"</f>
        <v>4/5</v>
      </c>
    </row>
    <row r="15" spans="1:8" x14ac:dyDescent="0.25">
      <c r="F15" s="7" t="s">
        <v>71</v>
      </c>
      <c r="G15" s="8" t="s">
        <v>72</v>
      </c>
      <c r="H15" s="9">
        <v>7</v>
      </c>
    </row>
    <row r="16" spans="1:8" x14ac:dyDescent="0.25">
      <c r="F16" s="7" t="s">
        <v>71</v>
      </c>
      <c r="G16" s="8" t="s">
        <v>73</v>
      </c>
      <c r="H16" s="9">
        <v>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9F79-CCA0-44E0-9E7F-21987C413206}">
  <dimension ref="A1"/>
  <sheetViews>
    <sheetView tabSelected="1" workbookViewId="0">
      <selection activeCell="J21" sqref="J2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Termicas</vt:lpstr>
      <vt:lpstr>Carga </vt:lpstr>
      <vt:lpstr>Submercados_e_Intercâmbios </vt:lpstr>
      <vt:lpstr>Não_Simuladas_e_MMGD</vt:lpstr>
      <vt:lpstr>Hidraulicas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Dias Jardim Penna</dc:creator>
  <cp:lastModifiedBy>Arthur Portugal Felippe</cp:lastModifiedBy>
  <dcterms:created xsi:type="dcterms:W3CDTF">2026-08-17T01:30:42Z</dcterms:created>
  <dcterms:modified xsi:type="dcterms:W3CDTF">2026-08-17T20:28:57Z</dcterms:modified>
</cp:coreProperties>
</file>